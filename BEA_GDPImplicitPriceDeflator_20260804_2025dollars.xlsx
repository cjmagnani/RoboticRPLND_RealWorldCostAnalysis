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ae753dd4acdf56/Documents/Research/RPLND_CEA/RPLND_CPT/"/>
    </mc:Choice>
  </mc:AlternateContent>
  <xr:revisionPtr revIDLastSave="122" documentId="8_{A83889FA-28AE-41BE-860D-E7E27A916393}" xr6:coauthVersionLast="47" xr6:coauthVersionMax="47" xr10:uidLastSave="{9525A804-0521-4DD5-856A-9190930A0D0D}"/>
  <bookViews>
    <workbookView xWindow="-110" yWindow="-110" windowWidth="24220" windowHeight="15500" xr2:uid="{9BF5B546-6666-446B-8A3E-B1E4749C4A76}"/>
  </bookViews>
  <sheets>
    <sheet name="2025_GDP_Deflator" sheetId="2" r:id="rId1"/>
    <sheet name="BEA_GDPImplicitPriceDeflator" sheetId="1" r:id="rId2"/>
    <sheet name="MedicareConversionFac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16" i="2"/>
  <c r="C15" i="2"/>
  <c r="D15" i="2" s="1"/>
  <c r="C2" i="2"/>
  <c r="D2" i="2" s="1"/>
  <c r="C3" i="2"/>
  <c r="D3" i="2" s="1"/>
  <c r="C4" i="2"/>
  <c r="D4" i="2" s="1"/>
  <c r="C5" i="2"/>
  <c r="D5" i="2" s="1"/>
  <c r="C6" i="2"/>
  <c r="D6" i="2" s="1"/>
  <c r="C7" i="2"/>
  <c r="C8" i="2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</calcChain>
</file>

<file path=xl/sharedStrings.xml><?xml version="1.0" encoding="utf-8"?>
<sst xmlns="http://schemas.openxmlformats.org/spreadsheetml/2006/main" count="378" uniqueCount="129">
  <si>
    <t>Table 1.1.9. Implicit Price Deflators for Gross Domestic Product</t>
  </si>
  <si>
    <t>Last Revised on: July 30, 2026 - Next Release Date August 26, 2026</t>
  </si>
  <si>
    <t>Line</t>
  </si>
  <si>
    <t xml:space="preserve">        Gross domestic product</t>
  </si>
  <si>
    <t>Personal consumption expenditures</t>
  </si>
  <si>
    <t xml:space="preserve">    Goods</t>
  </si>
  <si>
    <t xml:space="preserve">        Durable goods</t>
  </si>
  <si>
    <t xml:space="preserve">        Nondurable goods</t>
  </si>
  <si>
    <t xml:space="preserve">    Services</t>
  </si>
  <si>
    <t>Gross private domestic investment</t>
  </si>
  <si>
    <t xml:space="preserve">    Fixed investment</t>
  </si>
  <si>
    <t xml:space="preserve">        Nonresidential</t>
  </si>
  <si>
    <t xml:space="preserve">            Structures</t>
  </si>
  <si>
    <t xml:space="preserve">            Equipment</t>
  </si>
  <si>
    <t xml:space="preserve">            Intellectual property products</t>
  </si>
  <si>
    <t xml:space="preserve">        Residential</t>
  </si>
  <si>
    <t xml:space="preserve">    Change in private inventories</t>
  </si>
  <si>
    <t>---</t>
  </si>
  <si>
    <t>Net exports of goods and services</t>
  </si>
  <si>
    <t xml:space="preserve">    Exports</t>
  </si>
  <si>
    <t xml:space="preserve">        Goods</t>
  </si>
  <si>
    <t xml:space="preserve">        Services</t>
  </si>
  <si>
    <t xml:space="preserve">    Imports</t>
  </si>
  <si>
    <t>Government consumption expenditures and gross investment</t>
  </si>
  <si>
    <t xml:space="preserve">    Federal</t>
  </si>
  <si>
    <t xml:space="preserve">        National defense</t>
  </si>
  <si>
    <t xml:space="preserve">        Nondefense</t>
  </si>
  <si>
    <t xml:space="preserve">    State and local</t>
  </si>
  <si>
    <t>Addendum:</t>
  </si>
  <si>
    <t xml:space="preserve">    Gross national product</t>
  </si>
  <si>
    <t>Year</t>
  </si>
  <si>
    <t>GDP_2017_base</t>
  </si>
  <si>
    <t>GDP_2025_base</t>
  </si>
  <si>
    <t>GDP_2025_multiplier</t>
  </si>
  <si>
    <t>PFS_Conversion_Factor</t>
  </si>
  <si>
    <t>Conversion_x000D_
Factor</t>
  </si>
  <si>
    <t>%_x000D_
Change</t>
  </si>
  <si>
    <t>Primary_x000D_
Care_x000D_
Conversion_x000D_
Factor</t>
  </si>
  <si>
    <t>%_x000D_
Change_1</t>
  </si>
  <si>
    <t>Surgical_x000D_
Conversion_x000D_
Factor</t>
  </si>
  <si>
    <t>%_x000D_
Change_2</t>
  </si>
  <si>
    <t>Other_x000D_
Nonsurgical_x000D_
Conversion_x000D_
Factor</t>
  </si>
  <si>
    <t>%_x000D_
Change_3</t>
  </si>
  <si>
    <t>1992</t>
  </si>
  <si>
    <t>$31.0010</t>
  </si>
  <si>
    <t>null</t>
  </si>
  <si>
    <t>N/A</t>
  </si>
  <si>
    <t>1993</t>
  </si>
  <si>
    <t/>
  </si>
  <si>
    <t>$31.9620</t>
  </si>
  <si>
    <t>$31.2490</t>
  </si>
  <si>
    <t>1994</t>
  </si>
  <si>
    <t>$33.7180</t>
  </si>
  <si>
    <t>$35.1580</t>
  </si>
  <si>
    <t>$32.9050</t>
  </si>
  <si>
    <t>1995</t>
  </si>
  <si>
    <t>$36.3820</t>
  </si>
  <si>
    <t>$39.4470</t>
  </si>
  <si>
    <t>$34.6160</t>
  </si>
  <si>
    <t>1996</t>
  </si>
  <si>
    <t>$35.4173</t>
  </si>
  <si>
    <t>$40.7986</t>
  </si>
  <si>
    <t>$34.6293</t>
  </si>
  <si>
    <t>1997</t>
  </si>
  <si>
    <t>$35.7671</t>
  </si>
  <si>
    <t>$40.9603</t>
  </si>
  <si>
    <t>$33.8454</t>
  </si>
  <si>
    <t>1998</t>
  </si>
  <si>
    <t>$36.6873</t>
  </si>
  <si>
    <t>1999</t>
  </si>
  <si>
    <t>$34.7315</t>
  </si>
  <si>
    <t>2000</t>
  </si>
  <si>
    <t>$36.6137</t>
  </si>
  <si>
    <t>2001</t>
  </si>
  <si>
    <t>$38.2581</t>
  </si>
  <si>
    <t>2002</t>
  </si>
  <si>
    <t>$36.1992</t>
  </si>
  <si>
    <t>2003</t>
  </si>
  <si>
    <t>$36.7856</t>
  </si>
  <si>
    <t>2004</t>
  </si>
  <si>
    <t>$37.3374</t>
  </si>
  <si>
    <t>2005</t>
  </si>
  <si>
    <t>$37.8975</t>
  </si>
  <si>
    <t>2006</t>
  </si>
  <si>
    <t>2007</t>
  </si>
  <si>
    <t>2008</t>
  </si>
  <si>
    <t>$38.0870</t>
  </si>
  <si>
    <t>2009</t>
  </si>
  <si>
    <t>$36.0666</t>
  </si>
  <si>
    <t>1/1/10 –_x000D_
5/31/10</t>
  </si>
  <si>
    <t>$36.0791</t>
  </si>
  <si>
    <t>Initially, the Medicare Physician Payment Schedule (PFS) included distinct_x000D_
conversion factors for various categories of services. In 1998, a single_x000D_
conversion factor was implemented. The reduction in the 1999 conversion_x000D_
factor was offset by elimination of the work adjustor from the first Five-Year_x000D_
Review and increases in the practice expense and PLI RVUs. The reduction in_x000D_
the 2009 conversion factor was offset by elimination of the work adjustor from_x000D_
the third Five-Year Review. The reduction in the 2011 conversion factor was_x000D_
offset by increases to the practice expense and PLI RVUs resulting from the_x000D_
rescaling of those RVU pools to match the revised MEI weights. The 2014_x000D_
conversion factor update included a budget-neutrality increase to offset_x000D_
decreases to the practice expense and PLI RVUs, which resulted from the_x000D_
rescaling of the RVU pools to match the revised MEI weights. For a number of_x000D_
years, the conversion factor was minimally changed to reflect budget neutrality._x000D_
In 2021, the budget neutrality reduction...</t>
  </si>
  <si>
    <t>6/1/10 –_x000D_
12/31/10</t>
  </si>
  <si>
    <t>$36.8729</t>
  </si>
  <si>
    <t>2011</t>
  </si>
  <si>
    <t>$33.9764</t>
  </si>
  <si>
    <t>2012</t>
  </si>
  <si>
    <t>$34.0376</t>
  </si>
  <si>
    <t>2013</t>
  </si>
  <si>
    <t>$34.0230</t>
  </si>
  <si>
    <t>2014</t>
  </si>
  <si>
    <t>$35.8228</t>
  </si>
  <si>
    <t>1/1/15 –_x000D_
6/30/15</t>
  </si>
  <si>
    <t>$35.7547</t>
  </si>
  <si>
    <t>7/1/15 –_x000D_
12/31/15</t>
  </si>
  <si>
    <t>$35.9335</t>
  </si>
  <si>
    <t>2016</t>
  </si>
  <si>
    <t>$35.8043</t>
  </si>
  <si>
    <t>2017</t>
  </si>
  <si>
    <t>$35.8887</t>
  </si>
  <si>
    <t>2018</t>
  </si>
  <si>
    <t>$35.9996</t>
  </si>
  <si>
    <t>2019</t>
  </si>
  <si>
    <t>$36.0391</t>
  </si>
  <si>
    <t>2020</t>
  </si>
  <si>
    <t>$36.0896</t>
  </si>
  <si>
    <t>2021</t>
  </si>
  <si>
    <t>$34.8931</t>
  </si>
  <si>
    <t>2022</t>
  </si>
  <si>
    <t>$34.6062</t>
  </si>
  <si>
    <t>2023</t>
  </si>
  <si>
    <t>$33.8872</t>
  </si>
  <si>
    <t>1/1/24 –</t>
  </si>
  <si>
    <t>3/8/24</t>
  </si>
  <si>
    <t>$32.7442</t>
  </si>
  <si>
    <t>3/9/24 –_x000D_
12/31/24</t>
  </si>
  <si>
    <t>$33.2875</t>
  </si>
  <si>
    <t>2025</t>
  </si>
  <si>
    <t>$32.3465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</si>
</sst>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10" xfId="0" applyFont="1" applyBorder="1"/>
    <xf numFmtId="164" fontId="0" fillId="0" borderId="10" xfId="0" applyNumberFormat="1" applyBorder="1"/>
    <xf numFmtId="0" fontId="0" fillId="0" borderId="10" xfId="0" applyBorder="1"/>
    <xf numFmtId="0" fontId="18" fillId="0" borderId="0" xfId="0" applyNumberFormat="1" applyFont="1" applyFill="1" applyBorder="1" applyAlignment="1" applyProtection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45EB-92F9-45ED-AD78-CAB221F79A88}">
  <dimension ref="A1:E16"/>
  <sheetViews>
    <sheetView tabSelected="1" workbookViewId="0">
      <selection activeCell="E1" sqref="E1"/>
    </sheetView>
  </sheetViews>
  <sheetFormatPr defaultRowHeight="14.5" x14ac:dyDescent="0.35"/>
  <cols>
    <col min="1" max="1" width="4.81640625" style="1" bestFit="1" customWidth="1"/>
    <col min="2" max="3" width="14.1796875" bestFit="1" customWidth="1"/>
    <col min="4" max="4" width="18.54296875" bestFit="1" customWidth="1"/>
    <col min="5" max="5" width="21.6328125" customWidth="1"/>
  </cols>
  <sheetData>
    <row r="1" spans="1:5" x14ac:dyDescent="0.3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</row>
    <row r="2" spans="1:5" x14ac:dyDescent="0.35">
      <c r="A2" s="2">
        <v>2011</v>
      </c>
      <c r="B2" s="3">
        <v>91.480999999999995</v>
      </c>
      <c r="C2" s="3">
        <f t="shared" ref="C2:C14" si="0">C$16*B2/B$16</f>
        <v>70.927050139945237</v>
      </c>
      <c r="D2" s="3">
        <f t="shared" ref="D2:D13" si="1">C$16/C2</f>
        <v>1.4098993233567632</v>
      </c>
      <c r="E2" s="4">
        <v>33.976399999999998</v>
      </c>
    </row>
    <row r="3" spans="1:5" x14ac:dyDescent="0.35">
      <c r="A3" s="2">
        <v>2012</v>
      </c>
      <c r="B3" s="3">
        <v>93.185000000000002</v>
      </c>
      <c r="C3" s="3">
        <f t="shared" si="0"/>
        <v>72.248195442668958</v>
      </c>
      <c r="D3" s="3">
        <f t="shared" si="1"/>
        <v>1.3841176154960564</v>
      </c>
      <c r="E3" s="4">
        <v>34.037599999999998</v>
      </c>
    </row>
    <row r="4" spans="1:5" x14ac:dyDescent="0.35">
      <c r="A4" s="2">
        <v>2013</v>
      </c>
      <c r="B4" s="3">
        <v>94.771000000000001</v>
      </c>
      <c r="C4" s="3">
        <f t="shared" si="0"/>
        <v>73.477852983819062</v>
      </c>
      <c r="D4" s="3">
        <f t="shared" si="1"/>
        <v>1.360954300366146</v>
      </c>
      <c r="E4" s="4">
        <v>34.023000000000003</v>
      </c>
    </row>
    <row r="5" spans="1:5" x14ac:dyDescent="0.35">
      <c r="A5" s="2">
        <v>2014</v>
      </c>
      <c r="B5" s="3">
        <v>96.421000000000006</v>
      </c>
      <c r="C5" s="3">
        <f t="shared" si="0"/>
        <v>74.757131005822643</v>
      </c>
      <c r="D5" s="3">
        <f t="shared" si="1"/>
        <v>1.3376650314765457</v>
      </c>
      <c r="E5" s="4">
        <v>35.822800000000001</v>
      </c>
    </row>
    <row r="6" spans="1:5" x14ac:dyDescent="0.35">
      <c r="A6" s="2">
        <v>2015</v>
      </c>
      <c r="B6" s="3">
        <v>97.316000000000003</v>
      </c>
      <c r="C6" s="3">
        <f t="shared" si="0"/>
        <v>75.451042417757918</v>
      </c>
      <c r="D6" s="3">
        <f t="shared" si="1"/>
        <v>1.3253627358296685</v>
      </c>
      <c r="E6" s="4">
        <v>35.933500000000002</v>
      </c>
    </row>
    <row r="7" spans="1:5" x14ac:dyDescent="0.35">
      <c r="A7" s="2">
        <v>2016</v>
      </c>
      <c r="B7" s="3">
        <v>98.241</v>
      </c>
      <c r="C7" s="3">
        <f t="shared" si="0"/>
        <v>76.16821343009326</v>
      </c>
      <c r="D7" s="3">
        <f t="shared" si="1"/>
        <v>1.3128836229272913</v>
      </c>
      <c r="E7" s="4">
        <v>35.804299999999998</v>
      </c>
    </row>
    <row r="8" spans="1:5" x14ac:dyDescent="0.35">
      <c r="A8" s="2">
        <v>2017</v>
      </c>
      <c r="B8" s="3">
        <v>100</v>
      </c>
      <c r="C8" s="3">
        <f t="shared" si="0"/>
        <v>77.532001333550411</v>
      </c>
      <c r="D8" s="3">
        <f t="shared" si="1"/>
        <v>1.2897900000000002</v>
      </c>
      <c r="E8" s="4">
        <v>35.8887</v>
      </c>
    </row>
    <row r="9" spans="1:5" x14ac:dyDescent="0.35">
      <c r="A9" s="2">
        <v>2018</v>
      </c>
      <c r="B9" s="3">
        <v>102.291</v>
      </c>
      <c r="C9" s="3">
        <f t="shared" si="0"/>
        <v>79.308259484102052</v>
      </c>
      <c r="D9" s="3">
        <f t="shared" si="1"/>
        <v>1.2609027187142565</v>
      </c>
      <c r="E9" s="4">
        <v>35.999600000000001</v>
      </c>
    </row>
    <row r="10" spans="1:5" x14ac:dyDescent="0.35">
      <c r="A10" s="2">
        <v>2019</v>
      </c>
      <c r="B10" s="3">
        <v>103.979</v>
      </c>
      <c r="C10" s="3">
        <f t="shared" si="0"/>
        <v>80.616999666612386</v>
      </c>
      <c r="D10" s="3">
        <f t="shared" si="1"/>
        <v>1.2404331643889632</v>
      </c>
      <c r="E10" s="4">
        <v>36.039099999999998</v>
      </c>
    </row>
    <row r="11" spans="1:5" x14ac:dyDescent="0.35">
      <c r="A11" s="2">
        <v>2020</v>
      </c>
      <c r="B11" s="3">
        <v>105.377</v>
      </c>
      <c r="C11" s="3">
        <f t="shared" si="0"/>
        <v>81.700897045255417</v>
      </c>
      <c r="D11" s="3">
        <f t="shared" si="1"/>
        <v>1.2239767691241923</v>
      </c>
      <c r="E11" s="4">
        <v>36.089599999999997</v>
      </c>
    </row>
    <row r="12" spans="1:5" x14ac:dyDescent="0.35">
      <c r="A12" s="2">
        <v>2021</v>
      </c>
      <c r="B12" s="3">
        <v>110.18600000000001</v>
      </c>
      <c r="C12" s="3">
        <f t="shared" si="0"/>
        <v>85.429410989385858</v>
      </c>
      <c r="D12" s="3">
        <f t="shared" si="1"/>
        <v>1.1705570580654532</v>
      </c>
      <c r="E12" s="4">
        <v>34.893099999999997</v>
      </c>
    </row>
    <row r="13" spans="1:5" x14ac:dyDescent="0.35">
      <c r="A13" s="2">
        <v>2022</v>
      </c>
      <c r="B13" s="3">
        <v>118.023</v>
      </c>
      <c r="C13" s="3">
        <f t="shared" si="0"/>
        <v>91.505593933896193</v>
      </c>
      <c r="D13" s="3">
        <f t="shared" si="1"/>
        <v>1.0928293637680793</v>
      </c>
      <c r="E13" s="4">
        <v>34.606200000000001</v>
      </c>
    </row>
    <row r="14" spans="1:5" x14ac:dyDescent="0.35">
      <c r="A14" s="2">
        <v>2023</v>
      </c>
      <c r="B14" s="3">
        <v>122.39</v>
      </c>
      <c r="C14" s="3">
        <f t="shared" si="0"/>
        <v>94.89141643213236</v>
      </c>
      <c r="D14" s="3">
        <f>C$16/C14</f>
        <v>1.053836097720402</v>
      </c>
      <c r="E14" s="4">
        <v>33.8872</v>
      </c>
    </row>
    <row r="15" spans="1:5" x14ac:dyDescent="0.35">
      <c r="A15" s="2">
        <v>2024</v>
      </c>
      <c r="B15" s="3">
        <v>125.428</v>
      </c>
      <c r="C15" s="3">
        <f>C$16*B15/B$16</f>
        <v>97.246838632645606</v>
      </c>
      <c r="D15" s="3">
        <f t="shared" ref="D15:D16" si="2">C$16/C15</f>
        <v>1.0283110629205603</v>
      </c>
      <c r="E15" s="4">
        <v>33.287500000000001</v>
      </c>
    </row>
    <row r="16" spans="1:5" x14ac:dyDescent="0.35">
      <c r="A16" s="2">
        <v>2025</v>
      </c>
      <c r="B16" s="3">
        <v>128.97900000000001</v>
      </c>
      <c r="C16" s="3">
        <v>100</v>
      </c>
      <c r="D16" s="3">
        <f t="shared" si="2"/>
        <v>1</v>
      </c>
      <c r="E16" s="4">
        <v>32.346499999999999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B606-0C2C-4EB4-9538-43818BA070D4}">
  <dimension ref="A1:Q33"/>
  <sheetViews>
    <sheetView workbookViewId="0">
      <selection activeCell="K14" sqref="K14"/>
    </sheetView>
  </sheetViews>
  <sheetFormatPr defaultRowHeight="14.5" x14ac:dyDescent="0.35"/>
  <cols>
    <col min="1" max="1" width="54.7265625" bestFit="1" customWidth="1"/>
    <col min="2" max="2" width="50.81640625" bestFit="1" customWidth="1"/>
    <col min="3" max="8" width="7.81640625" bestFit="1" customWidth="1"/>
    <col min="9" max="9" width="4.81640625" bestFit="1" customWidth="1"/>
    <col min="10" max="17" width="7.81640625" bestFit="1" customWidth="1"/>
  </cols>
  <sheetData>
    <row r="1" spans="1:17" x14ac:dyDescent="0.35">
      <c r="A1" t="s">
        <v>0</v>
      </c>
    </row>
    <row r="2" spans="1:17" x14ac:dyDescent="0.35">
      <c r="A2" t="s">
        <v>0</v>
      </c>
    </row>
    <row r="3" spans="1:17" x14ac:dyDescent="0.35">
      <c r="A3" t="s">
        <v>1</v>
      </c>
    </row>
    <row r="4" spans="1:17" x14ac:dyDescent="0.35">
      <c r="A4" t="s">
        <v>2</v>
      </c>
      <c r="C4">
        <v>2011</v>
      </c>
      <c r="D4">
        <v>2012</v>
      </c>
      <c r="E4">
        <v>2013</v>
      </c>
      <c r="F4">
        <v>2014</v>
      </c>
      <c r="G4">
        <v>2015</v>
      </c>
      <c r="H4">
        <v>2016</v>
      </c>
      <c r="I4">
        <v>2017</v>
      </c>
      <c r="J4">
        <v>2018</v>
      </c>
      <c r="K4">
        <v>2019</v>
      </c>
      <c r="L4">
        <v>2020</v>
      </c>
      <c r="M4">
        <v>2021</v>
      </c>
      <c r="N4">
        <v>2022</v>
      </c>
      <c r="O4">
        <v>2023</v>
      </c>
      <c r="P4">
        <v>2024</v>
      </c>
      <c r="Q4">
        <v>2025</v>
      </c>
    </row>
    <row r="5" spans="1:17" x14ac:dyDescent="0.35">
      <c r="A5" t="s">
        <v>2</v>
      </c>
    </row>
    <row r="6" spans="1:17" x14ac:dyDescent="0.35">
      <c r="A6">
        <v>1</v>
      </c>
      <c r="B6" t="s">
        <v>3</v>
      </c>
      <c r="C6">
        <v>91.480999999999995</v>
      </c>
      <c r="D6">
        <v>93.185000000000002</v>
      </c>
      <c r="E6">
        <v>94.771000000000001</v>
      </c>
      <c r="F6">
        <v>96.421000000000006</v>
      </c>
      <c r="G6">
        <v>97.316000000000003</v>
      </c>
      <c r="H6">
        <v>98.241</v>
      </c>
      <c r="I6">
        <v>100</v>
      </c>
      <c r="J6">
        <v>102.291</v>
      </c>
      <c r="K6">
        <v>103.979</v>
      </c>
      <c r="L6">
        <v>105.377</v>
      </c>
      <c r="M6">
        <v>110.18600000000001</v>
      </c>
      <c r="N6">
        <v>118.023</v>
      </c>
      <c r="O6">
        <v>122.39</v>
      </c>
      <c r="P6">
        <v>125.428</v>
      </c>
      <c r="Q6">
        <v>128.97900000000001</v>
      </c>
    </row>
    <row r="7" spans="1:17" x14ac:dyDescent="0.35">
      <c r="A7">
        <v>2</v>
      </c>
      <c r="B7" t="s">
        <v>4</v>
      </c>
      <c r="C7">
        <v>92.804000000000002</v>
      </c>
      <c r="D7">
        <v>94.534000000000006</v>
      </c>
      <c r="E7">
        <v>95.781000000000006</v>
      </c>
      <c r="F7">
        <v>97.120999999999995</v>
      </c>
      <c r="G7">
        <v>97.299000000000007</v>
      </c>
      <c r="H7">
        <v>98.284000000000006</v>
      </c>
      <c r="I7">
        <v>100</v>
      </c>
      <c r="J7">
        <v>102.047</v>
      </c>
      <c r="K7">
        <v>103.509</v>
      </c>
      <c r="L7">
        <v>104.666</v>
      </c>
      <c r="M7">
        <v>108.97199999999999</v>
      </c>
      <c r="N7">
        <v>116.1</v>
      </c>
      <c r="O7">
        <v>120.511</v>
      </c>
      <c r="P7">
        <v>123.666</v>
      </c>
      <c r="Q7">
        <v>126.917</v>
      </c>
    </row>
    <row r="8" spans="1:17" x14ac:dyDescent="0.35">
      <c r="A8">
        <v>3</v>
      </c>
      <c r="B8" t="s">
        <v>5</v>
      </c>
      <c r="C8">
        <v>104.325</v>
      </c>
      <c r="D8">
        <v>105.62</v>
      </c>
      <c r="E8">
        <v>105.04900000000001</v>
      </c>
      <c r="F8">
        <v>104.542</v>
      </c>
      <c r="G8">
        <v>101.35</v>
      </c>
      <c r="H8">
        <v>99.71</v>
      </c>
      <c r="I8">
        <v>100</v>
      </c>
      <c r="J8">
        <v>100.81100000000001</v>
      </c>
      <c r="K8">
        <v>100.426</v>
      </c>
      <c r="L8">
        <v>99.665999999999997</v>
      </c>
      <c r="M8">
        <v>104.599</v>
      </c>
      <c r="N8">
        <v>113.639</v>
      </c>
      <c r="O8">
        <v>115.03700000000001</v>
      </c>
      <c r="P8">
        <v>114.538</v>
      </c>
      <c r="Q8">
        <v>115.331</v>
      </c>
    </row>
    <row r="9" spans="1:17" x14ac:dyDescent="0.35">
      <c r="A9">
        <v>4</v>
      </c>
      <c r="B9" t="s">
        <v>6</v>
      </c>
      <c r="C9">
        <v>113.023</v>
      </c>
      <c r="D9">
        <v>111.595</v>
      </c>
      <c r="E9">
        <v>109.551</v>
      </c>
      <c r="F9">
        <v>106.771</v>
      </c>
      <c r="G9">
        <v>104.617</v>
      </c>
      <c r="H9">
        <v>102.337</v>
      </c>
      <c r="I9">
        <v>100</v>
      </c>
      <c r="J9">
        <v>98.632999999999996</v>
      </c>
      <c r="K9">
        <v>97.686000000000007</v>
      </c>
      <c r="L9">
        <v>96.813999999999993</v>
      </c>
      <c r="M9">
        <v>102.182</v>
      </c>
      <c r="N9">
        <v>108.792</v>
      </c>
      <c r="O9">
        <v>107.979</v>
      </c>
      <c r="P9">
        <v>105.751</v>
      </c>
      <c r="Q9">
        <v>106.18300000000001</v>
      </c>
    </row>
    <row r="10" spans="1:17" x14ac:dyDescent="0.35">
      <c r="A10">
        <v>5</v>
      </c>
      <c r="B10" t="s">
        <v>7</v>
      </c>
      <c r="C10">
        <v>100.417</v>
      </c>
      <c r="D10">
        <v>102.831</v>
      </c>
      <c r="E10">
        <v>102.895</v>
      </c>
      <c r="F10">
        <v>103.40900000000001</v>
      </c>
      <c r="G10">
        <v>99.734999999999999</v>
      </c>
      <c r="H10">
        <v>98.405000000000001</v>
      </c>
      <c r="I10">
        <v>100</v>
      </c>
      <c r="J10">
        <v>101.935</v>
      </c>
      <c r="K10">
        <v>101.848</v>
      </c>
      <c r="L10">
        <v>101.15</v>
      </c>
      <c r="M10">
        <v>105.83</v>
      </c>
      <c r="N10">
        <v>116.26900000000001</v>
      </c>
      <c r="O10">
        <v>118.956</v>
      </c>
      <c r="P10">
        <v>119.49299999999999</v>
      </c>
      <c r="Q10">
        <v>120.505</v>
      </c>
    </row>
    <row r="11" spans="1:17" x14ac:dyDescent="0.35">
      <c r="A11">
        <v>6</v>
      </c>
      <c r="B11" t="s">
        <v>8</v>
      </c>
      <c r="C11">
        <v>87.742000000000004</v>
      </c>
      <c r="D11">
        <v>89.647999999999996</v>
      </c>
      <c r="E11">
        <v>91.659000000000006</v>
      </c>
      <c r="F11">
        <v>93.795000000000002</v>
      </c>
      <c r="G11">
        <v>95.462000000000003</v>
      </c>
      <c r="H11">
        <v>97.629000000000005</v>
      </c>
      <c r="I11">
        <v>100</v>
      </c>
      <c r="J11">
        <v>102.626</v>
      </c>
      <c r="K11">
        <v>104.965</v>
      </c>
      <c r="L11">
        <v>107.08799999999999</v>
      </c>
      <c r="M11">
        <v>111.044</v>
      </c>
      <c r="N11">
        <v>117.13</v>
      </c>
      <c r="O11">
        <v>123.09099999999999</v>
      </c>
      <c r="P11">
        <v>128.119</v>
      </c>
      <c r="Q11">
        <v>132.63900000000001</v>
      </c>
    </row>
    <row r="12" spans="1:17" x14ac:dyDescent="0.35">
      <c r="A12">
        <v>7</v>
      </c>
      <c r="B12" t="s">
        <v>9</v>
      </c>
      <c r="C12">
        <v>94.698999999999998</v>
      </c>
      <c r="D12">
        <v>95.85</v>
      </c>
      <c r="E12">
        <v>96.585999999999999</v>
      </c>
      <c r="F12">
        <v>98.242000000000004</v>
      </c>
      <c r="G12">
        <v>98.95</v>
      </c>
      <c r="H12">
        <v>98.736999999999995</v>
      </c>
      <c r="I12">
        <v>100</v>
      </c>
      <c r="J12">
        <v>101.545</v>
      </c>
      <c r="K12">
        <v>102.9</v>
      </c>
      <c r="L12">
        <v>104.002</v>
      </c>
      <c r="M12">
        <v>107.661</v>
      </c>
      <c r="N12">
        <v>115.75700000000001</v>
      </c>
      <c r="O12">
        <v>119.059</v>
      </c>
      <c r="P12">
        <v>121.001</v>
      </c>
      <c r="Q12">
        <v>123.20399999999999</v>
      </c>
    </row>
    <row r="13" spans="1:17" x14ac:dyDescent="0.35">
      <c r="A13">
        <v>8</v>
      </c>
      <c r="B13" t="s">
        <v>10</v>
      </c>
      <c r="C13">
        <v>93.991</v>
      </c>
      <c r="D13">
        <v>95.241</v>
      </c>
      <c r="E13">
        <v>96.16</v>
      </c>
      <c r="F13">
        <v>97.923000000000002</v>
      </c>
      <c r="G13">
        <v>98.581999999999994</v>
      </c>
      <c r="H13">
        <v>98.55</v>
      </c>
      <c r="I13">
        <v>100</v>
      </c>
      <c r="J13">
        <v>101.568</v>
      </c>
      <c r="K13">
        <v>102.961</v>
      </c>
      <c r="L13">
        <v>104.245</v>
      </c>
      <c r="M13">
        <v>108.039</v>
      </c>
      <c r="N13">
        <v>116.50700000000001</v>
      </c>
      <c r="O13">
        <v>120.036</v>
      </c>
      <c r="P13">
        <v>122.08499999999999</v>
      </c>
      <c r="Q13">
        <v>124.358</v>
      </c>
    </row>
    <row r="14" spans="1:17" x14ac:dyDescent="0.35">
      <c r="A14">
        <v>9</v>
      </c>
      <c r="B14" t="s">
        <v>11</v>
      </c>
      <c r="C14">
        <v>97.756</v>
      </c>
      <c r="D14">
        <v>99.13</v>
      </c>
      <c r="E14">
        <v>99.228999999999999</v>
      </c>
      <c r="F14">
        <v>100.17</v>
      </c>
      <c r="G14">
        <v>100.345</v>
      </c>
      <c r="H14">
        <v>99.38</v>
      </c>
      <c r="I14">
        <v>100</v>
      </c>
      <c r="J14">
        <v>100.42700000000001</v>
      </c>
      <c r="K14">
        <v>101.40600000000001</v>
      </c>
      <c r="L14">
        <v>101.97</v>
      </c>
      <c r="M14">
        <v>103.14700000000001</v>
      </c>
      <c r="N14">
        <v>109.32299999999999</v>
      </c>
      <c r="O14">
        <v>112.79300000000001</v>
      </c>
      <c r="P14">
        <v>114.324</v>
      </c>
      <c r="Q14">
        <v>116.045</v>
      </c>
    </row>
    <row r="15" spans="1:17" x14ac:dyDescent="0.35">
      <c r="A15">
        <v>10</v>
      </c>
      <c r="B15" t="s">
        <v>12</v>
      </c>
      <c r="C15">
        <v>86.244</v>
      </c>
      <c r="D15">
        <v>90.209000000000003</v>
      </c>
      <c r="E15">
        <v>91.474000000000004</v>
      </c>
      <c r="F15">
        <v>96.212999999999994</v>
      </c>
      <c r="G15">
        <v>97.718999999999994</v>
      </c>
      <c r="H15">
        <v>97.668000000000006</v>
      </c>
      <c r="I15">
        <v>100</v>
      </c>
      <c r="J15">
        <v>101.17400000000001</v>
      </c>
      <c r="K15">
        <v>105.261</v>
      </c>
      <c r="L15">
        <v>106.852</v>
      </c>
      <c r="M15">
        <v>110.42700000000001</v>
      </c>
      <c r="N15">
        <v>128.37200000000001</v>
      </c>
      <c r="O15">
        <v>135.02799999999999</v>
      </c>
      <c r="P15">
        <v>134.69800000000001</v>
      </c>
      <c r="Q15">
        <v>135.886</v>
      </c>
    </row>
    <row r="16" spans="1:17" x14ac:dyDescent="0.35">
      <c r="A16">
        <v>11</v>
      </c>
      <c r="B16" t="s">
        <v>13</v>
      </c>
      <c r="C16">
        <v>102.518</v>
      </c>
      <c r="D16">
        <v>103.08799999999999</v>
      </c>
      <c r="E16">
        <v>102.857</v>
      </c>
      <c r="F16">
        <v>102.124</v>
      </c>
      <c r="G16">
        <v>101.499</v>
      </c>
      <c r="H16">
        <v>100.206</v>
      </c>
      <c r="I16">
        <v>100</v>
      </c>
      <c r="J16">
        <v>99.921000000000006</v>
      </c>
      <c r="K16">
        <v>99.981999999999999</v>
      </c>
      <c r="L16">
        <v>99.460999999999999</v>
      </c>
      <c r="M16">
        <v>99.908000000000001</v>
      </c>
      <c r="N16">
        <v>106.065</v>
      </c>
      <c r="O16">
        <v>110.86499999999999</v>
      </c>
      <c r="P16">
        <v>113.173</v>
      </c>
      <c r="Q16">
        <v>115.723</v>
      </c>
    </row>
    <row r="17" spans="1:17" x14ac:dyDescent="0.35">
      <c r="A17">
        <v>12</v>
      </c>
      <c r="B17" t="s">
        <v>14</v>
      </c>
      <c r="C17">
        <v>99.807000000000002</v>
      </c>
      <c r="D17">
        <v>100.292</v>
      </c>
      <c r="E17">
        <v>99.947999999999993</v>
      </c>
      <c r="F17">
        <v>100.32599999999999</v>
      </c>
      <c r="G17">
        <v>100.626</v>
      </c>
      <c r="H17">
        <v>99.453000000000003</v>
      </c>
      <c r="I17">
        <v>100</v>
      </c>
      <c r="J17">
        <v>100.58199999999999</v>
      </c>
      <c r="K17">
        <v>100.736</v>
      </c>
      <c r="L17">
        <v>101.89700000000001</v>
      </c>
      <c r="M17">
        <v>102.60899999999999</v>
      </c>
      <c r="N17">
        <v>103.551</v>
      </c>
      <c r="O17">
        <v>104.419</v>
      </c>
      <c r="P17">
        <v>106.14400000000001</v>
      </c>
      <c r="Q17">
        <v>107.35299999999999</v>
      </c>
    </row>
    <row r="18" spans="1:17" x14ac:dyDescent="0.35">
      <c r="A18">
        <v>13</v>
      </c>
      <c r="B18" t="s">
        <v>15</v>
      </c>
      <c r="C18">
        <v>80.236000000000004</v>
      </c>
      <c r="D18">
        <v>81.006</v>
      </c>
      <c r="E18">
        <v>85.094999999999999</v>
      </c>
      <c r="F18">
        <v>89.986000000000004</v>
      </c>
      <c r="G18">
        <v>92.453999999999994</v>
      </c>
      <c r="H18">
        <v>95.698999999999998</v>
      </c>
      <c r="I18">
        <v>100</v>
      </c>
      <c r="J18">
        <v>105.64</v>
      </c>
      <c r="K18">
        <v>108.6</v>
      </c>
      <c r="L18">
        <v>112.51</v>
      </c>
      <c r="M18">
        <v>125.161</v>
      </c>
      <c r="N18">
        <v>141.779</v>
      </c>
      <c r="O18">
        <v>145.41499999999999</v>
      </c>
      <c r="P18">
        <v>149.655</v>
      </c>
      <c r="Q18">
        <v>154.26400000000001</v>
      </c>
    </row>
    <row r="19" spans="1:17" x14ac:dyDescent="0.35">
      <c r="A19">
        <v>14</v>
      </c>
      <c r="B19" t="s">
        <v>16</v>
      </c>
      <c r="C19" t="s">
        <v>17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  <c r="Q19" t="s">
        <v>17</v>
      </c>
    </row>
    <row r="20" spans="1:17" x14ac:dyDescent="0.35">
      <c r="A20">
        <v>15</v>
      </c>
      <c r="B20" t="s">
        <v>18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</row>
    <row r="21" spans="1:17" x14ac:dyDescent="0.35">
      <c r="A21">
        <v>16</v>
      </c>
      <c r="B21" t="s">
        <v>19</v>
      </c>
      <c r="C21">
        <v>103.508</v>
      </c>
      <c r="D21">
        <v>104.298</v>
      </c>
      <c r="E21">
        <v>104.45699999999999</v>
      </c>
      <c r="F21">
        <v>104.515</v>
      </c>
      <c r="G21">
        <v>99.454999999999998</v>
      </c>
      <c r="H21">
        <v>97.456999999999994</v>
      </c>
      <c r="I21">
        <v>100</v>
      </c>
      <c r="J21">
        <v>103.325</v>
      </c>
      <c r="K21">
        <v>102.82899999999999</v>
      </c>
      <c r="L21">
        <v>100.279</v>
      </c>
      <c r="M21">
        <v>111.82</v>
      </c>
      <c r="N21">
        <v>122.83</v>
      </c>
      <c r="O21">
        <v>120.949</v>
      </c>
      <c r="P21">
        <v>122.09</v>
      </c>
      <c r="Q21">
        <v>124.072</v>
      </c>
    </row>
    <row r="22" spans="1:17" x14ac:dyDescent="0.35">
      <c r="A22">
        <v>17</v>
      </c>
      <c r="B22" t="s">
        <v>20</v>
      </c>
      <c r="C22">
        <v>110.86799999999999</v>
      </c>
      <c r="D22">
        <v>111.092</v>
      </c>
      <c r="E22">
        <v>110.34399999999999</v>
      </c>
      <c r="F22">
        <v>109.20699999999999</v>
      </c>
      <c r="G22">
        <v>101.423</v>
      </c>
      <c r="H22">
        <v>97.466999999999999</v>
      </c>
      <c r="I22">
        <v>100</v>
      </c>
      <c r="J22">
        <v>103.545</v>
      </c>
      <c r="K22">
        <v>101.85</v>
      </c>
      <c r="L22">
        <v>97.869</v>
      </c>
      <c r="M22">
        <v>111.702</v>
      </c>
      <c r="N22">
        <v>124.724</v>
      </c>
      <c r="O22">
        <v>119.361</v>
      </c>
      <c r="P22">
        <v>118.92</v>
      </c>
      <c r="Q22">
        <v>119.877</v>
      </c>
    </row>
    <row r="23" spans="1:17" x14ac:dyDescent="0.35">
      <c r="A23">
        <v>18</v>
      </c>
      <c r="B23" t="s">
        <v>21</v>
      </c>
      <c r="C23">
        <v>89.956999999999994</v>
      </c>
      <c r="D23">
        <v>91.79</v>
      </c>
      <c r="E23">
        <v>93.61</v>
      </c>
      <c r="F23">
        <v>95.88</v>
      </c>
      <c r="G23">
        <v>95.849000000000004</v>
      </c>
      <c r="H23">
        <v>97.44</v>
      </c>
      <c r="I23">
        <v>100</v>
      </c>
      <c r="J23">
        <v>102.91</v>
      </c>
      <c r="K23">
        <v>104.694</v>
      </c>
      <c r="L23">
        <v>104.985</v>
      </c>
      <c r="M23">
        <v>111.68899999999999</v>
      </c>
      <c r="N23">
        <v>118.47</v>
      </c>
      <c r="O23">
        <v>123.61799999999999</v>
      </c>
      <c r="P23">
        <v>127.848</v>
      </c>
      <c r="Q23">
        <v>131.78100000000001</v>
      </c>
    </row>
    <row r="24" spans="1:17" x14ac:dyDescent="0.35">
      <c r="A24">
        <v>19</v>
      </c>
      <c r="B24" t="s">
        <v>22</v>
      </c>
      <c r="C24">
        <v>112.041</v>
      </c>
      <c r="D24">
        <v>112.35899999999999</v>
      </c>
      <c r="E24">
        <v>110.89400000000001</v>
      </c>
      <c r="F24">
        <v>110.06699999999999</v>
      </c>
      <c r="G24">
        <v>101.283</v>
      </c>
      <c r="H24">
        <v>97.825000000000003</v>
      </c>
      <c r="I24">
        <v>100</v>
      </c>
      <c r="J24">
        <v>102.66200000000001</v>
      </c>
      <c r="K24">
        <v>100.999</v>
      </c>
      <c r="L24">
        <v>98.891000000000005</v>
      </c>
      <c r="M24">
        <v>106.03</v>
      </c>
      <c r="N24">
        <v>113.66800000000001</v>
      </c>
      <c r="O24">
        <v>111.357</v>
      </c>
      <c r="P24">
        <v>112.211</v>
      </c>
      <c r="Q24">
        <v>112.74</v>
      </c>
    </row>
    <row r="25" spans="1:17" x14ac:dyDescent="0.35">
      <c r="A25">
        <v>20</v>
      </c>
      <c r="B25" t="s">
        <v>20</v>
      </c>
      <c r="C25">
        <v>116.289</v>
      </c>
      <c r="D25">
        <v>116.44199999999999</v>
      </c>
      <c r="E25">
        <v>114.181</v>
      </c>
      <c r="F25">
        <v>112.66</v>
      </c>
      <c r="G25">
        <v>102.053</v>
      </c>
      <c r="H25">
        <v>97.81</v>
      </c>
      <c r="I25">
        <v>100</v>
      </c>
      <c r="J25">
        <v>102.709</v>
      </c>
      <c r="K25">
        <v>100.474</v>
      </c>
      <c r="L25">
        <v>97.766000000000005</v>
      </c>
      <c r="M25">
        <v>105.209</v>
      </c>
      <c r="N25">
        <v>113.066</v>
      </c>
      <c r="O25">
        <v>109.45699999999999</v>
      </c>
      <c r="P25">
        <v>109.974</v>
      </c>
      <c r="Q25">
        <v>110.02200000000001</v>
      </c>
    </row>
    <row r="26" spans="1:17" x14ac:dyDescent="0.35">
      <c r="A26">
        <v>21</v>
      </c>
      <c r="B26" t="s">
        <v>21</v>
      </c>
      <c r="C26">
        <v>94.171999999999997</v>
      </c>
      <c r="D26">
        <v>95.134</v>
      </c>
      <c r="E26">
        <v>96.885999999999996</v>
      </c>
      <c r="F26">
        <v>98.953999999999994</v>
      </c>
      <c r="G26">
        <v>97.965999999999994</v>
      </c>
      <c r="H26">
        <v>97.888000000000005</v>
      </c>
      <c r="I26">
        <v>100</v>
      </c>
      <c r="J26">
        <v>102.464</v>
      </c>
      <c r="K26">
        <v>103.307</v>
      </c>
      <c r="L26">
        <v>104.02800000000001</v>
      </c>
      <c r="M26">
        <v>109.566</v>
      </c>
      <c r="N26">
        <v>116.096</v>
      </c>
      <c r="O26">
        <v>119.675</v>
      </c>
      <c r="P26">
        <v>121.99</v>
      </c>
      <c r="Q26">
        <v>124.712</v>
      </c>
    </row>
    <row r="27" spans="1:17" x14ac:dyDescent="0.35">
      <c r="A27">
        <v>22</v>
      </c>
      <c r="B27" t="s">
        <v>23</v>
      </c>
      <c r="C27">
        <v>91.861000000000004</v>
      </c>
      <c r="D27">
        <v>93.46</v>
      </c>
      <c r="E27">
        <v>95.634</v>
      </c>
      <c r="F27">
        <v>97.578000000000003</v>
      </c>
      <c r="G27">
        <v>97.581000000000003</v>
      </c>
      <c r="H27">
        <v>97.766000000000005</v>
      </c>
      <c r="I27">
        <v>100</v>
      </c>
      <c r="J27">
        <v>103.619</v>
      </c>
      <c r="K27">
        <v>105.155</v>
      </c>
      <c r="L27">
        <v>107.425</v>
      </c>
      <c r="M27">
        <v>113.17700000000001</v>
      </c>
      <c r="N27">
        <v>121.386</v>
      </c>
      <c r="O27">
        <v>124.745</v>
      </c>
      <c r="P27">
        <v>127.77500000000001</v>
      </c>
      <c r="Q27">
        <v>132.21600000000001</v>
      </c>
    </row>
    <row r="28" spans="1:17" x14ac:dyDescent="0.35">
      <c r="A28">
        <v>23</v>
      </c>
      <c r="B28" t="s">
        <v>24</v>
      </c>
      <c r="C28">
        <v>93.9</v>
      </c>
      <c r="D28">
        <v>94.783000000000001</v>
      </c>
      <c r="E28">
        <v>95.596999999999994</v>
      </c>
      <c r="F28">
        <v>97.215000000000003</v>
      </c>
      <c r="G28">
        <v>97.608999999999995</v>
      </c>
      <c r="H28">
        <v>98.204999999999998</v>
      </c>
      <c r="I28">
        <v>100</v>
      </c>
      <c r="J28">
        <v>102.77500000000001</v>
      </c>
      <c r="K28">
        <v>104.352</v>
      </c>
      <c r="L28">
        <v>105.423</v>
      </c>
      <c r="M28">
        <v>108.91800000000001</v>
      </c>
      <c r="N28">
        <v>115.194</v>
      </c>
      <c r="O28">
        <v>120.003</v>
      </c>
      <c r="P28">
        <v>123.896</v>
      </c>
      <c r="Q28">
        <v>130.28100000000001</v>
      </c>
    </row>
    <row r="29" spans="1:17" x14ac:dyDescent="0.35">
      <c r="A29">
        <v>24</v>
      </c>
      <c r="B29" t="s">
        <v>25</v>
      </c>
      <c r="C29">
        <v>94.978999999999999</v>
      </c>
      <c r="D29">
        <v>95.99</v>
      </c>
      <c r="E29">
        <v>96.459000000000003</v>
      </c>
      <c r="F29">
        <v>97.85</v>
      </c>
      <c r="G29">
        <v>98.052999999999997</v>
      </c>
      <c r="H29">
        <v>98.418999999999997</v>
      </c>
      <c r="I29">
        <v>100</v>
      </c>
      <c r="J29">
        <v>102.642</v>
      </c>
      <c r="K29">
        <v>104.06699999999999</v>
      </c>
      <c r="L29">
        <v>105.374</v>
      </c>
      <c r="M29">
        <v>109.22499999999999</v>
      </c>
      <c r="N29">
        <v>116.078</v>
      </c>
      <c r="O29">
        <v>120.88800000000001</v>
      </c>
      <c r="P29">
        <v>125.39400000000001</v>
      </c>
      <c r="Q29">
        <v>130.88</v>
      </c>
    </row>
    <row r="30" spans="1:17" x14ac:dyDescent="0.35">
      <c r="A30">
        <v>25</v>
      </c>
      <c r="B30" t="s">
        <v>26</v>
      </c>
      <c r="C30">
        <v>92.262</v>
      </c>
      <c r="D30">
        <v>92.927000000000007</v>
      </c>
      <c r="E30">
        <v>94.307000000000002</v>
      </c>
      <c r="F30">
        <v>96.287000000000006</v>
      </c>
      <c r="G30">
        <v>96.968000000000004</v>
      </c>
      <c r="H30">
        <v>97.897000000000006</v>
      </c>
      <c r="I30">
        <v>100</v>
      </c>
      <c r="J30">
        <v>102.968</v>
      </c>
      <c r="K30">
        <v>104.767</v>
      </c>
      <c r="L30">
        <v>105.499</v>
      </c>
      <c r="M30">
        <v>108.518</v>
      </c>
      <c r="N30">
        <v>114.05</v>
      </c>
      <c r="O30">
        <v>118.857</v>
      </c>
      <c r="P30">
        <v>121.953</v>
      </c>
      <c r="Q30">
        <v>129.535</v>
      </c>
    </row>
    <row r="31" spans="1:17" x14ac:dyDescent="0.35">
      <c r="A31">
        <v>26</v>
      </c>
      <c r="B31" t="s">
        <v>27</v>
      </c>
      <c r="C31">
        <v>90.494</v>
      </c>
      <c r="D31">
        <v>92.578999999999994</v>
      </c>
      <c r="E31">
        <v>95.653999999999996</v>
      </c>
      <c r="F31">
        <v>97.804000000000002</v>
      </c>
      <c r="G31">
        <v>97.566999999999993</v>
      </c>
      <c r="H31">
        <v>97.504999999999995</v>
      </c>
      <c r="I31">
        <v>100</v>
      </c>
      <c r="J31">
        <v>104.126</v>
      </c>
      <c r="K31">
        <v>105.63800000000001</v>
      </c>
      <c r="L31">
        <v>108.65</v>
      </c>
      <c r="M31">
        <v>115.855</v>
      </c>
      <c r="N31">
        <v>125.30500000000001</v>
      </c>
      <c r="O31">
        <v>127.744</v>
      </c>
      <c r="P31">
        <v>130.23099999999999</v>
      </c>
      <c r="Q31">
        <v>133.44900000000001</v>
      </c>
    </row>
    <row r="32" spans="1:17" x14ac:dyDescent="0.35">
      <c r="B32" t="s">
        <v>28</v>
      </c>
    </row>
    <row r="33" spans="1:17" x14ac:dyDescent="0.35">
      <c r="A33">
        <v>27</v>
      </c>
      <c r="B33" t="s">
        <v>29</v>
      </c>
      <c r="C33">
        <v>91.513999999999996</v>
      </c>
      <c r="D33">
        <v>93.216999999999999</v>
      </c>
      <c r="E33">
        <v>94.801000000000002</v>
      </c>
      <c r="F33">
        <v>96.451999999999998</v>
      </c>
      <c r="G33">
        <v>97.338999999999999</v>
      </c>
      <c r="H33">
        <v>98.262</v>
      </c>
      <c r="I33">
        <v>100</v>
      </c>
      <c r="J33">
        <v>102.22499999999999</v>
      </c>
      <c r="K33">
        <v>103.90900000000001</v>
      </c>
      <c r="L33">
        <v>105.306</v>
      </c>
      <c r="M33">
        <v>110.108</v>
      </c>
      <c r="N33">
        <v>117.93899999999999</v>
      </c>
      <c r="O33">
        <v>122.301</v>
      </c>
      <c r="P33">
        <v>125.33799999999999</v>
      </c>
      <c r="Q33">
        <v>128.88800000000001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DFD7-A6D2-44E1-8403-2D32AA7C3CA2}">
  <dimension ref="A1:I40"/>
  <sheetViews>
    <sheetView workbookViewId="0">
      <selection activeCell="D34" sqref="D34"/>
    </sheetView>
  </sheetViews>
  <sheetFormatPr defaultRowHeight="14.5" x14ac:dyDescent="0.35"/>
  <cols>
    <col min="1" max="1" width="14.6328125" bestFit="1" customWidth="1"/>
    <col min="2" max="2" width="16.08984375" bestFit="1" customWidth="1"/>
    <col min="3" max="3" width="9.36328125" bestFit="1" customWidth="1"/>
    <col min="4" max="4" width="25.90625" customWidth="1"/>
    <col min="5" max="5" width="11.1796875" bestFit="1" customWidth="1"/>
    <col min="6" max="6" width="23.54296875" bestFit="1" customWidth="1"/>
    <col min="7" max="7" width="11.1796875" bestFit="1" customWidth="1"/>
    <col min="8" max="8" width="32.36328125" bestFit="1" customWidth="1"/>
    <col min="9" max="9" width="11.1796875" bestFit="1" customWidth="1"/>
  </cols>
  <sheetData>
    <row r="1" spans="1:9" x14ac:dyDescent="0.35">
      <c r="A1" s="5" t="s">
        <v>30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</row>
    <row r="2" spans="1:9" x14ac:dyDescent="0.35">
      <c r="A2" s="5" t="s">
        <v>43</v>
      </c>
      <c r="B2" s="5" t="s">
        <v>44</v>
      </c>
      <c r="C2" s="5" t="s">
        <v>45</v>
      </c>
      <c r="D2" s="5" t="s">
        <v>46</v>
      </c>
      <c r="E2" s="5" t="s">
        <v>45</v>
      </c>
      <c r="F2" s="5" t="s">
        <v>46</v>
      </c>
      <c r="G2" s="5" t="s">
        <v>45</v>
      </c>
      <c r="H2" s="5" t="s">
        <v>46</v>
      </c>
      <c r="I2" s="5" t="s">
        <v>45</v>
      </c>
    </row>
    <row r="3" spans="1:9" x14ac:dyDescent="0.35">
      <c r="A3" s="5" t="s">
        <v>47</v>
      </c>
      <c r="B3" s="5" t="s">
        <v>46</v>
      </c>
      <c r="C3" s="5" t="s">
        <v>45</v>
      </c>
      <c r="D3" s="5" t="s">
        <v>48</v>
      </c>
      <c r="E3" s="5" t="s">
        <v>45</v>
      </c>
      <c r="F3" s="5" t="s">
        <v>49</v>
      </c>
      <c r="G3" s="5" t="s">
        <v>45</v>
      </c>
      <c r="H3" s="5" t="s">
        <v>50</v>
      </c>
      <c r="I3" s="5" t="s">
        <v>45</v>
      </c>
    </row>
    <row r="4" spans="1:9" x14ac:dyDescent="0.35">
      <c r="A4" s="5" t="s">
        <v>51</v>
      </c>
      <c r="B4" s="5" t="s">
        <v>46</v>
      </c>
      <c r="C4" s="5" t="s">
        <v>45</v>
      </c>
      <c r="D4" s="5" t="s">
        <v>52</v>
      </c>
      <c r="E4" s="5" t="s">
        <v>45</v>
      </c>
      <c r="F4" s="5" t="s">
        <v>53</v>
      </c>
      <c r="G4" s="5">
        <v>10</v>
      </c>
      <c r="H4" s="5" t="s">
        <v>54</v>
      </c>
      <c r="I4" s="5">
        <v>5.3</v>
      </c>
    </row>
    <row r="5" spans="1:9" x14ac:dyDescent="0.35">
      <c r="A5" s="5" t="s">
        <v>55</v>
      </c>
      <c r="B5" s="5" t="s">
        <v>46</v>
      </c>
      <c r="C5" s="5" t="s">
        <v>45</v>
      </c>
      <c r="D5" s="5" t="s">
        <v>56</v>
      </c>
      <c r="E5" s="5">
        <v>7.9</v>
      </c>
      <c r="F5" s="5" t="s">
        <v>57</v>
      </c>
      <c r="G5" s="5">
        <v>12.2</v>
      </c>
      <c r="H5" s="5" t="s">
        <v>58</v>
      </c>
      <c r="I5" s="5">
        <v>5.2</v>
      </c>
    </row>
    <row r="6" spans="1:9" x14ac:dyDescent="0.35">
      <c r="A6" s="5" t="s">
        <v>59</v>
      </c>
      <c r="B6" s="5" t="s">
        <v>46</v>
      </c>
      <c r="C6" s="5" t="s">
        <v>45</v>
      </c>
      <c r="D6" s="5" t="s">
        <v>60</v>
      </c>
      <c r="E6" s="5">
        <v>-2.7</v>
      </c>
      <c r="F6" s="5" t="s">
        <v>61</v>
      </c>
      <c r="G6" s="5">
        <v>3.4</v>
      </c>
      <c r="H6" s="5" t="s">
        <v>62</v>
      </c>
      <c r="I6" s="5">
        <v>0</v>
      </c>
    </row>
    <row r="7" spans="1:9" x14ac:dyDescent="0.35">
      <c r="A7" s="5" t="s">
        <v>63</v>
      </c>
      <c r="B7" s="5" t="s">
        <v>46</v>
      </c>
      <c r="C7" s="5" t="s">
        <v>45</v>
      </c>
      <c r="D7" s="5" t="s">
        <v>64</v>
      </c>
      <c r="E7" s="5">
        <v>1</v>
      </c>
      <c r="F7" s="5" t="s">
        <v>65</v>
      </c>
      <c r="G7" s="5">
        <v>0.4</v>
      </c>
      <c r="H7" s="5" t="s">
        <v>66</v>
      </c>
      <c r="I7" s="5">
        <v>-2.2999999999999998</v>
      </c>
    </row>
    <row r="8" spans="1:9" x14ac:dyDescent="0.35">
      <c r="A8" s="5" t="s">
        <v>67</v>
      </c>
      <c r="B8" s="5" t="s">
        <v>68</v>
      </c>
      <c r="C8" s="5" t="s">
        <v>45</v>
      </c>
      <c r="D8" s="5" t="s">
        <v>45</v>
      </c>
      <c r="E8" s="5" t="s">
        <v>45</v>
      </c>
      <c r="F8" s="5" t="s">
        <v>45</v>
      </c>
      <c r="G8" s="5" t="s">
        <v>45</v>
      </c>
      <c r="H8" s="5" t="s">
        <v>45</v>
      </c>
      <c r="I8" s="5" t="s">
        <v>45</v>
      </c>
    </row>
    <row r="9" spans="1:9" x14ac:dyDescent="0.35">
      <c r="A9" s="5" t="s">
        <v>69</v>
      </c>
      <c r="B9" s="5" t="s">
        <v>70</v>
      </c>
      <c r="C9" s="5">
        <v>-5.3</v>
      </c>
      <c r="D9" s="5" t="s">
        <v>45</v>
      </c>
      <c r="E9" s="5" t="s">
        <v>45</v>
      </c>
      <c r="F9" s="5" t="s">
        <v>45</v>
      </c>
      <c r="G9" s="5" t="s">
        <v>45</v>
      </c>
      <c r="H9" s="5" t="s">
        <v>45</v>
      </c>
      <c r="I9" s="5" t="s">
        <v>45</v>
      </c>
    </row>
    <row r="10" spans="1:9" x14ac:dyDescent="0.35">
      <c r="A10" s="5" t="s">
        <v>71</v>
      </c>
      <c r="B10" s="5" t="s">
        <v>72</v>
      </c>
      <c r="C10" s="5">
        <v>5.4</v>
      </c>
      <c r="D10" s="5" t="s">
        <v>45</v>
      </c>
      <c r="E10" s="5" t="s">
        <v>45</v>
      </c>
      <c r="F10" s="5" t="s">
        <v>45</v>
      </c>
      <c r="G10" s="5" t="s">
        <v>45</v>
      </c>
      <c r="H10" s="5" t="s">
        <v>45</v>
      </c>
      <c r="I10" s="5" t="s">
        <v>45</v>
      </c>
    </row>
    <row r="11" spans="1:9" x14ac:dyDescent="0.35">
      <c r="A11" s="5" t="s">
        <v>73</v>
      </c>
      <c r="B11" s="5" t="s">
        <v>74</v>
      </c>
      <c r="C11" s="5">
        <v>4.5</v>
      </c>
      <c r="D11" s="5" t="s">
        <v>45</v>
      </c>
      <c r="E11" s="5" t="s">
        <v>45</v>
      </c>
      <c r="F11" s="5" t="s">
        <v>45</v>
      </c>
      <c r="G11" s="5" t="s">
        <v>45</v>
      </c>
      <c r="H11" s="5" t="s">
        <v>45</v>
      </c>
      <c r="I11" s="5" t="s">
        <v>45</v>
      </c>
    </row>
    <row r="12" spans="1:9" x14ac:dyDescent="0.35">
      <c r="A12" s="5" t="s">
        <v>75</v>
      </c>
      <c r="B12" s="5" t="s">
        <v>76</v>
      </c>
      <c r="C12" s="5">
        <v>-5.4</v>
      </c>
      <c r="D12" s="5" t="s">
        <v>45</v>
      </c>
      <c r="E12" s="5" t="s">
        <v>45</v>
      </c>
      <c r="F12" s="5" t="s">
        <v>45</v>
      </c>
      <c r="G12" s="5" t="s">
        <v>45</v>
      </c>
      <c r="H12" s="5" t="s">
        <v>45</v>
      </c>
      <c r="I12" s="5" t="s">
        <v>45</v>
      </c>
    </row>
    <row r="13" spans="1:9" x14ac:dyDescent="0.35">
      <c r="A13" s="5" t="s">
        <v>77</v>
      </c>
      <c r="B13" s="5" t="s">
        <v>78</v>
      </c>
      <c r="C13" s="5">
        <v>1.6</v>
      </c>
      <c r="D13" s="5" t="s">
        <v>45</v>
      </c>
      <c r="E13" s="5" t="s">
        <v>45</v>
      </c>
      <c r="F13" s="5" t="s">
        <v>45</v>
      </c>
      <c r="G13" s="5" t="s">
        <v>45</v>
      </c>
      <c r="H13" s="5" t="s">
        <v>45</v>
      </c>
      <c r="I13" s="5" t="s">
        <v>45</v>
      </c>
    </row>
    <row r="14" spans="1:9" x14ac:dyDescent="0.35">
      <c r="A14" s="5" t="s">
        <v>79</v>
      </c>
      <c r="B14" s="5" t="s">
        <v>80</v>
      </c>
      <c r="C14" s="5">
        <v>1.5</v>
      </c>
      <c r="D14" s="5" t="s">
        <v>45</v>
      </c>
      <c r="E14" s="5" t="s">
        <v>45</v>
      </c>
      <c r="F14" s="5" t="s">
        <v>45</v>
      </c>
      <c r="G14" s="5" t="s">
        <v>45</v>
      </c>
      <c r="H14" s="5" t="s">
        <v>45</v>
      </c>
      <c r="I14" s="5" t="s">
        <v>45</v>
      </c>
    </row>
    <row r="15" spans="1:9" x14ac:dyDescent="0.35">
      <c r="A15" s="5" t="s">
        <v>81</v>
      </c>
      <c r="B15" s="5" t="s">
        <v>82</v>
      </c>
      <c r="C15" s="5">
        <v>1.5</v>
      </c>
      <c r="D15" s="5" t="s">
        <v>45</v>
      </c>
      <c r="E15" s="5" t="s">
        <v>45</v>
      </c>
      <c r="F15" s="5" t="s">
        <v>45</v>
      </c>
      <c r="G15" s="5" t="s">
        <v>45</v>
      </c>
      <c r="H15" s="5" t="s">
        <v>45</v>
      </c>
      <c r="I15" s="5" t="s">
        <v>45</v>
      </c>
    </row>
    <row r="16" spans="1:9" x14ac:dyDescent="0.35">
      <c r="A16" s="5" t="s">
        <v>83</v>
      </c>
      <c r="B16" s="5" t="s">
        <v>82</v>
      </c>
      <c r="C16" s="5">
        <v>0</v>
      </c>
      <c r="D16" s="5" t="s">
        <v>45</v>
      </c>
      <c r="E16" s="5" t="s">
        <v>45</v>
      </c>
      <c r="F16" s="5" t="s">
        <v>45</v>
      </c>
      <c r="G16" s="5" t="s">
        <v>45</v>
      </c>
      <c r="H16" s="5" t="s">
        <v>45</v>
      </c>
      <c r="I16" s="5" t="s">
        <v>45</v>
      </c>
    </row>
    <row r="17" spans="1:9" x14ac:dyDescent="0.35">
      <c r="A17" s="5" t="s">
        <v>84</v>
      </c>
      <c r="B17" s="5" t="s">
        <v>82</v>
      </c>
      <c r="C17" s="5">
        <v>0</v>
      </c>
      <c r="D17" s="5" t="s">
        <v>45</v>
      </c>
      <c r="E17" s="5" t="s">
        <v>45</v>
      </c>
      <c r="F17" s="5" t="s">
        <v>45</v>
      </c>
      <c r="G17" s="5" t="s">
        <v>45</v>
      </c>
      <c r="H17" s="5" t="s">
        <v>45</v>
      </c>
      <c r="I17" s="5" t="s">
        <v>45</v>
      </c>
    </row>
    <row r="18" spans="1:9" x14ac:dyDescent="0.35">
      <c r="A18" s="5" t="s">
        <v>85</v>
      </c>
      <c r="B18" s="5" t="s">
        <v>86</v>
      </c>
      <c r="C18" s="5">
        <v>0.5</v>
      </c>
      <c r="D18" s="5" t="s">
        <v>45</v>
      </c>
      <c r="E18" s="5" t="s">
        <v>45</v>
      </c>
      <c r="F18" s="5" t="s">
        <v>45</v>
      </c>
      <c r="G18" s="5" t="s">
        <v>45</v>
      </c>
      <c r="H18" s="5" t="s">
        <v>45</v>
      </c>
      <c r="I18" s="5" t="s">
        <v>45</v>
      </c>
    </row>
    <row r="19" spans="1:9" x14ac:dyDescent="0.35">
      <c r="A19" s="5" t="s">
        <v>87</v>
      </c>
      <c r="B19" s="5" t="s">
        <v>88</v>
      </c>
      <c r="C19" s="5">
        <v>-5.3</v>
      </c>
      <c r="D19" s="5" t="s">
        <v>45</v>
      </c>
      <c r="E19" s="5" t="s">
        <v>45</v>
      </c>
      <c r="F19" s="5" t="s">
        <v>45</v>
      </c>
      <c r="G19" s="5" t="s">
        <v>45</v>
      </c>
      <c r="H19" s="5" t="s">
        <v>45</v>
      </c>
      <c r="I19" s="5" t="s">
        <v>45</v>
      </c>
    </row>
    <row r="20" spans="1:9" x14ac:dyDescent="0.35">
      <c r="A20" s="5" t="s">
        <v>89</v>
      </c>
      <c r="B20" s="5" t="s">
        <v>90</v>
      </c>
      <c r="C20" s="5">
        <v>0.03</v>
      </c>
      <c r="D20" s="5" t="s">
        <v>91</v>
      </c>
      <c r="E20" s="5" t="s">
        <v>45</v>
      </c>
      <c r="F20" s="5" t="s">
        <v>45</v>
      </c>
      <c r="G20" s="5" t="s">
        <v>45</v>
      </c>
      <c r="H20" s="5" t="s">
        <v>45</v>
      </c>
      <c r="I20" s="5" t="s">
        <v>45</v>
      </c>
    </row>
    <row r="21" spans="1:9" x14ac:dyDescent="0.35">
      <c r="A21" s="5" t="s">
        <v>92</v>
      </c>
      <c r="B21" s="5" t="s">
        <v>93</v>
      </c>
      <c r="C21" s="5">
        <v>2.2000000000000002</v>
      </c>
      <c r="D21" s="5" t="s">
        <v>45</v>
      </c>
      <c r="E21" s="5" t="s">
        <v>45</v>
      </c>
      <c r="F21" s="5" t="s">
        <v>45</v>
      </c>
      <c r="G21" s="5" t="s">
        <v>45</v>
      </c>
      <c r="H21" s="5" t="s">
        <v>45</v>
      </c>
      <c r="I21" s="5" t="s">
        <v>45</v>
      </c>
    </row>
    <row r="22" spans="1:9" x14ac:dyDescent="0.35">
      <c r="A22" s="5" t="s">
        <v>94</v>
      </c>
      <c r="B22" s="5" t="s">
        <v>95</v>
      </c>
      <c r="C22" s="5">
        <v>-7.9</v>
      </c>
      <c r="D22" s="5" t="s">
        <v>45</v>
      </c>
      <c r="E22" s="5" t="s">
        <v>45</v>
      </c>
      <c r="F22" s="5" t="s">
        <v>45</v>
      </c>
      <c r="G22" s="5" t="s">
        <v>45</v>
      </c>
      <c r="H22" s="5" t="s">
        <v>45</v>
      </c>
      <c r="I22" s="5" t="s">
        <v>45</v>
      </c>
    </row>
    <row r="23" spans="1:9" x14ac:dyDescent="0.35">
      <c r="A23" s="5" t="s">
        <v>96</v>
      </c>
      <c r="B23" s="5" t="s">
        <v>97</v>
      </c>
      <c r="C23" s="5">
        <v>0.18</v>
      </c>
      <c r="D23" s="5" t="s">
        <v>45</v>
      </c>
      <c r="E23" s="5" t="s">
        <v>45</v>
      </c>
      <c r="F23" s="5" t="s">
        <v>45</v>
      </c>
      <c r="G23" s="5" t="s">
        <v>45</v>
      </c>
      <c r="H23" s="5" t="s">
        <v>45</v>
      </c>
      <c r="I23" s="5" t="s">
        <v>45</v>
      </c>
    </row>
    <row r="24" spans="1:9" x14ac:dyDescent="0.35">
      <c r="A24" s="5" t="s">
        <v>98</v>
      </c>
      <c r="B24" s="5" t="s">
        <v>99</v>
      </c>
      <c r="C24" s="5">
        <v>-0.04</v>
      </c>
      <c r="D24" s="5" t="s">
        <v>45</v>
      </c>
      <c r="E24" s="5" t="s">
        <v>45</v>
      </c>
      <c r="F24" s="5" t="s">
        <v>45</v>
      </c>
      <c r="G24" s="5" t="s">
        <v>45</v>
      </c>
      <c r="H24" s="5" t="s">
        <v>45</v>
      </c>
      <c r="I24" s="5" t="s">
        <v>45</v>
      </c>
    </row>
    <row r="25" spans="1:9" x14ac:dyDescent="0.35">
      <c r="A25" s="5" t="s">
        <v>100</v>
      </c>
      <c r="B25" s="5" t="s">
        <v>101</v>
      </c>
      <c r="C25" s="5">
        <v>5.3</v>
      </c>
      <c r="D25" s="5" t="s">
        <v>45</v>
      </c>
      <c r="E25" s="5" t="s">
        <v>45</v>
      </c>
      <c r="F25" s="5" t="s">
        <v>45</v>
      </c>
      <c r="G25" s="5" t="s">
        <v>45</v>
      </c>
      <c r="H25" s="5" t="s">
        <v>45</v>
      </c>
      <c r="I25" s="5" t="s">
        <v>45</v>
      </c>
    </row>
    <row r="26" spans="1:9" x14ac:dyDescent="0.35">
      <c r="A26" s="5" t="s">
        <v>102</v>
      </c>
      <c r="B26" s="5" t="s">
        <v>103</v>
      </c>
      <c r="C26" s="5">
        <v>-0.19</v>
      </c>
      <c r="D26" s="5" t="s">
        <v>45</v>
      </c>
      <c r="E26" s="5" t="s">
        <v>45</v>
      </c>
      <c r="F26" s="5" t="s">
        <v>45</v>
      </c>
      <c r="G26" s="5" t="s">
        <v>45</v>
      </c>
      <c r="H26" s="5" t="s">
        <v>45</v>
      </c>
      <c r="I26" s="5" t="s">
        <v>45</v>
      </c>
    </row>
    <row r="27" spans="1:9" x14ac:dyDescent="0.35">
      <c r="A27" s="5" t="s">
        <v>104</v>
      </c>
      <c r="B27" s="5" t="s">
        <v>105</v>
      </c>
      <c r="C27" s="5">
        <v>0.5</v>
      </c>
      <c r="D27" s="5" t="s">
        <v>45</v>
      </c>
      <c r="E27" s="5" t="s">
        <v>45</v>
      </c>
      <c r="F27" s="5" t="s">
        <v>45</v>
      </c>
      <c r="G27" s="5" t="s">
        <v>45</v>
      </c>
      <c r="H27" s="5" t="s">
        <v>45</v>
      </c>
      <c r="I27" s="5" t="s">
        <v>45</v>
      </c>
    </row>
    <row r="28" spans="1:9" x14ac:dyDescent="0.35">
      <c r="A28" s="5" t="s">
        <v>106</v>
      </c>
      <c r="B28" s="5" t="s">
        <v>107</v>
      </c>
      <c r="C28" s="5">
        <v>-0.36</v>
      </c>
      <c r="D28" s="5" t="s">
        <v>45</v>
      </c>
      <c r="E28" s="5" t="s">
        <v>45</v>
      </c>
      <c r="F28" s="5" t="s">
        <v>45</v>
      </c>
      <c r="G28" s="5" t="s">
        <v>45</v>
      </c>
      <c r="H28" s="5" t="s">
        <v>45</v>
      </c>
      <c r="I28" s="5" t="s">
        <v>45</v>
      </c>
    </row>
    <row r="29" spans="1:9" x14ac:dyDescent="0.35">
      <c r="A29" s="5" t="s">
        <v>108</v>
      </c>
      <c r="B29" s="5" t="s">
        <v>109</v>
      </c>
      <c r="C29" s="5">
        <v>0.24</v>
      </c>
      <c r="D29" s="5" t="s">
        <v>45</v>
      </c>
      <c r="E29" s="5" t="s">
        <v>45</v>
      </c>
      <c r="F29" s="5" t="s">
        <v>45</v>
      </c>
      <c r="G29" s="5" t="s">
        <v>45</v>
      </c>
      <c r="H29" s="5" t="s">
        <v>45</v>
      </c>
      <c r="I29" s="5" t="s">
        <v>45</v>
      </c>
    </row>
    <row r="30" spans="1:9" x14ac:dyDescent="0.35">
      <c r="A30" s="5" t="s">
        <v>110</v>
      </c>
      <c r="B30" s="5" t="s">
        <v>111</v>
      </c>
      <c r="C30" s="5">
        <v>0.31</v>
      </c>
      <c r="D30" s="5" t="s">
        <v>45</v>
      </c>
      <c r="E30" s="5" t="s">
        <v>45</v>
      </c>
      <c r="F30" s="5" t="s">
        <v>45</v>
      </c>
      <c r="G30" s="5" t="s">
        <v>45</v>
      </c>
      <c r="H30" s="5" t="s">
        <v>45</v>
      </c>
      <c r="I30" s="5" t="s">
        <v>45</v>
      </c>
    </row>
    <row r="31" spans="1:9" x14ac:dyDescent="0.35">
      <c r="A31" s="5" t="s">
        <v>112</v>
      </c>
      <c r="B31" s="5" t="s">
        <v>113</v>
      </c>
      <c r="C31" s="5">
        <v>0.11</v>
      </c>
      <c r="D31" s="5" t="s">
        <v>45</v>
      </c>
      <c r="E31" s="5" t="s">
        <v>45</v>
      </c>
      <c r="F31" s="5" t="s">
        <v>45</v>
      </c>
      <c r="G31" s="5" t="s">
        <v>45</v>
      </c>
      <c r="H31" s="5" t="s">
        <v>45</v>
      </c>
      <c r="I31" s="5" t="s">
        <v>45</v>
      </c>
    </row>
    <row r="32" spans="1:9" x14ac:dyDescent="0.35">
      <c r="A32" s="5" t="s">
        <v>114</v>
      </c>
      <c r="B32" s="5" t="s">
        <v>115</v>
      </c>
      <c r="C32" s="5">
        <v>0.14000000000000001</v>
      </c>
      <c r="D32" s="5" t="s">
        <v>45</v>
      </c>
      <c r="E32" s="5" t="s">
        <v>45</v>
      </c>
      <c r="F32" s="5" t="s">
        <v>45</v>
      </c>
      <c r="G32" s="5" t="s">
        <v>45</v>
      </c>
      <c r="H32" s="5" t="s">
        <v>45</v>
      </c>
      <c r="I32" s="5" t="s">
        <v>45</v>
      </c>
    </row>
    <row r="33" spans="1:9" x14ac:dyDescent="0.35">
      <c r="A33" s="5" t="s">
        <v>116</v>
      </c>
      <c r="B33" s="5" t="s">
        <v>117</v>
      </c>
      <c r="C33" s="5">
        <v>-3.3</v>
      </c>
      <c r="D33" s="5" t="s">
        <v>45</v>
      </c>
      <c r="E33" s="5" t="s">
        <v>45</v>
      </c>
      <c r="F33" s="5" t="s">
        <v>45</v>
      </c>
      <c r="G33" s="5" t="s">
        <v>45</v>
      </c>
      <c r="H33" s="5" t="s">
        <v>45</v>
      </c>
      <c r="I33" s="5" t="s">
        <v>45</v>
      </c>
    </row>
    <row r="34" spans="1:9" x14ac:dyDescent="0.35">
      <c r="A34" s="5" t="s">
        <v>118</v>
      </c>
      <c r="B34" s="5" t="s">
        <v>119</v>
      </c>
      <c r="C34" s="5">
        <v>-0.8</v>
      </c>
      <c r="D34" s="5" t="s">
        <v>45</v>
      </c>
      <c r="E34" s="5" t="s">
        <v>45</v>
      </c>
      <c r="F34" s="5" t="s">
        <v>45</v>
      </c>
      <c r="G34" s="5" t="s">
        <v>45</v>
      </c>
      <c r="H34" s="5" t="s">
        <v>45</v>
      </c>
      <c r="I34" s="5" t="s">
        <v>45</v>
      </c>
    </row>
    <row r="35" spans="1:9" x14ac:dyDescent="0.35">
      <c r="A35" s="5" t="s">
        <v>120</v>
      </c>
      <c r="B35" s="5" t="s">
        <v>121</v>
      </c>
      <c r="C35" s="5">
        <v>-2</v>
      </c>
      <c r="D35" s="5" t="s">
        <v>45</v>
      </c>
      <c r="E35" s="5" t="s">
        <v>45</v>
      </c>
      <c r="F35" s="5" t="s">
        <v>45</v>
      </c>
      <c r="G35" s="5" t="s">
        <v>45</v>
      </c>
      <c r="H35" s="5" t="s">
        <v>45</v>
      </c>
      <c r="I35" s="5" t="s">
        <v>45</v>
      </c>
    </row>
    <row r="36" spans="1:9" x14ac:dyDescent="0.35">
      <c r="A36" s="5" t="s">
        <v>122</v>
      </c>
      <c r="B36" s="5" t="s">
        <v>45</v>
      </c>
      <c r="C36" s="5" t="s">
        <v>45</v>
      </c>
      <c r="D36" s="5" t="s">
        <v>45</v>
      </c>
      <c r="E36" s="5" t="s">
        <v>45</v>
      </c>
      <c r="F36" s="5" t="s">
        <v>45</v>
      </c>
      <c r="G36" s="5" t="s">
        <v>45</v>
      </c>
      <c r="H36" s="5" t="s">
        <v>45</v>
      </c>
      <c r="I36" s="5" t="s">
        <v>45</v>
      </c>
    </row>
    <row r="37" spans="1:9" x14ac:dyDescent="0.35">
      <c r="A37" s="5" t="s">
        <v>123</v>
      </c>
      <c r="B37" s="5" t="s">
        <v>124</v>
      </c>
      <c r="C37" s="5">
        <v>-3.37</v>
      </c>
      <c r="D37" s="5" t="s">
        <v>45</v>
      </c>
      <c r="E37" s="5" t="s">
        <v>45</v>
      </c>
      <c r="F37" s="5" t="s">
        <v>45</v>
      </c>
      <c r="G37" s="5" t="s">
        <v>45</v>
      </c>
      <c r="H37" s="5" t="s">
        <v>45</v>
      </c>
      <c r="I37" s="5" t="s">
        <v>45</v>
      </c>
    </row>
    <row r="38" spans="1:9" x14ac:dyDescent="0.35">
      <c r="A38" s="5" t="s">
        <v>125</v>
      </c>
      <c r="B38" s="5" t="s">
        <v>126</v>
      </c>
      <c r="C38" s="5">
        <v>1.66</v>
      </c>
      <c r="D38" s="5" t="s">
        <v>45</v>
      </c>
      <c r="E38" s="5" t="s">
        <v>45</v>
      </c>
      <c r="F38" s="5" t="s">
        <v>45</v>
      </c>
      <c r="G38" s="5" t="s">
        <v>45</v>
      </c>
      <c r="H38" s="5" t="s">
        <v>45</v>
      </c>
      <c r="I38" s="5" t="s">
        <v>45</v>
      </c>
    </row>
    <row r="39" spans="1:9" x14ac:dyDescent="0.35">
      <c r="A39" s="5" t="s">
        <v>127</v>
      </c>
      <c r="B39" s="5" t="s">
        <v>128</v>
      </c>
      <c r="C39" s="5">
        <v>-2.83</v>
      </c>
      <c r="D39" s="5" t="s">
        <v>45</v>
      </c>
      <c r="E39" s="5" t="s">
        <v>45</v>
      </c>
      <c r="F39" s="5" t="s">
        <v>45</v>
      </c>
      <c r="G39" s="5" t="s">
        <v>45</v>
      </c>
      <c r="H39" s="5" t="s">
        <v>45</v>
      </c>
      <c r="I39" s="5" t="s">
        <v>45</v>
      </c>
    </row>
    <row r="40" spans="1:9" x14ac:dyDescent="0.35">
      <c r="B40" s="6"/>
      <c r="C40" s="7"/>
      <c r="D40" s="6"/>
      <c r="E40" s="7"/>
      <c r="F40" s="6"/>
      <c r="G40" s="7"/>
      <c r="H40" s="6"/>
      <c r="I4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2739F2-D0AA-4C41-BCEB-7E5EC738F2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2025_GDP_Deflator</vt:lpstr>
      <vt:lpstr>BEA_GDPImplicitPriceDeflator</vt:lpstr>
      <vt:lpstr>MedicareConversionFactors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Magnani</cp:lastModifiedBy>
  <dcterms:created xsi:type="dcterms:W3CDTF">2026-08-05T02:08:57Z</dcterms:created>
  <dcterms:modified xsi:type="dcterms:W3CDTF">2026-08-05T12:54:02Z</dcterms:modified>
</cp:coreProperties>
</file>